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115232\GDrive\My Drive\1. Academic\Teaching\Albany\BITM330\BITM330-Book\Examples\"/>
    </mc:Choice>
  </mc:AlternateContent>
  <xr:revisionPtr revIDLastSave="0" documentId="13_ncr:1_{7F0A398A-921A-4336-BB38-AC0BF8B441E6}" xr6:coauthVersionLast="47" xr6:coauthVersionMax="47" xr10:uidLastSave="{00000000-0000-0000-0000-000000000000}"/>
  <bookViews>
    <workbookView xWindow="1080" yWindow="1080" windowWidth="21600" windowHeight="11235" activeTab="2" xr2:uid="{8838B9F3-558F-4E81-931C-5ADC09AE7B5B}"/>
  </bookViews>
  <sheets>
    <sheet name="Sheet1" sheetId="1" r:id="rId1"/>
    <sheet name="Sheet2" sheetId="2" r:id="rId2"/>
    <sheet name="Resul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 a="1"/>
  <c r="A13" i="2" s="1"/>
  <c r="G18" i="2" a="1"/>
  <c r="G18" i="2" s="1"/>
  <c r="A24" i="2" a="1"/>
  <c r="A24" i="2" s="1"/>
  <c r="A18" i="2" a="1"/>
  <c r="A1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<sst xmlns="http://schemas.openxmlformats.org/spreadsheetml/2006/main" count="39" uniqueCount="28">
  <si>
    <t>customer_id</t>
  </si>
  <si>
    <t>name</t>
  </si>
  <si>
    <t>email</t>
  </si>
  <si>
    <t>city</t>
  </si>
  <si>
    <t>Alice Brown</t>
  </si>
  <si>
    <t>alice.brown@example.com</t>
  </si>
  <si>
    <t>New York</t>
  </si>
  <si>
    <t>Bob Smith</t>
  </si>
  <si>
    <t>bob.smith@example.com</t>
  </si>
  <si>
    <t>Charlie Davis</t>
  </si>
  <si>
    <t>charlie.davis@example.com</t>
  </si>
  <si>
    <t>Los Angeles</t>
  </si>
  <si>
    <t>order id</t>
  </si>
  <si>
    <t>product</t>
  </si>
  <si>
    <t>amount</t>
  </si>
  <si>
    <t>is_shipped</t>
  </si>
  <si>
    <t>order_date</t>
  </si>
  <si>
    <t>Laptop</t>
  </si>
  <si>
    <t>Mouse</t>
  </si>
  <si>
    <t>Keyboard</t>
  </si>
  <si>
    <t>Monitor</t>
  </si>
  <si>
    <t>Example 1: Orders after 2024-01-12</t>
  </si>
  <si>
    <t>Example 2: Inner Join</t>
  </si>
  <si>
    <t>Example 3: Total amount spent per customer</t>
  </si>
  <si>
    <t>2024-01-10T00:00:00.000Z</t>
  </si>
  <si>
    <t>2024-01-12T00:00:00.000Z</t>
  </si>
  <si>
    <t>2024-01-15T00:00:00.000Z</t>
  </si>
  <si>
    <t>2024-01-18T00:00:00.000Z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</si>
</sst>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45306</fb>
    <v>0</v>
  </rv>
  <rv s="0">
    <fb>45309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Properties>
    <rPr n="NumberFormat" t="s"/>
  </richProperties>
  <richStyles>
    <rSty dxfid="0">
      <rpv i="0">m/d/yyyy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2C19D-2194-4942-9C4D-ABFCC2012981}" name="Customers" displayName="Customers" ref="A1:D4" totalsRowShown="0">
  <autoFilter ref="A1:D4" xr:uid="{FE92C19D-2194-4942-9C4D-ABFCC2012981}"/>
  <tableColumns count="4">
    <tableColumn id="1" xr3:uid="{16C28279-648A-47D4-B133-04C22F25D94A}" name="customer_id"/>
    <tableColumn id="2" xr3:uid="{72730576-4D94-4701-85DC-45A9CA61DCFD}" name="name"/>
    <tableColumn id="3" xr3:uid="{B7BEA607-B5DB-4CD0-B1F8-3B0DE8DD9D5B}" name="email"/>
    <tableColumn id="4" xr3:uid="{7424D068-C4CA-4262-B7C5-36D1F6EB6B43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12600-327D-43DE-A36F-CC5CCEBBD3B1}" name="Orders" displayName="Orders" ref="A6:F10" totalsRowShown="0">
  <autoFilter ref="A6:F10" xr:uid="{2D112600-327D-43DE-A36F-CC5CCEBBD3B1}"/>
  <tableColumns count="6">
    <tableColumn id="1" xr3:uid="{28B794E9-B12B-4346-892B-2DFE03D07A04}" name="order id"/>
    <tableColumn id="2" xr3:uid="{6D0C43DE-4809-40BC-A25A-8B9B2D701B42}" name="customer_id"/>
    <tableColumn id="3" xr3:uid="{F86184AC-0FCA-4A4D-BDC8-31E1B3EFDDAB}" name="product"/>
    <tableColumn id="4" xr3:uid="{BB8636CC-18C7-4B03-B4C9-0D9CC9D2ED42}" name="amount"/>
    <tableColumn id="5" xr3:uid="{4ED80F6E-3DAC-463A-A2B8-259AFD4C4F70}" name="is_shipped"/>
    <tableColumn id="6" xr3:uid="{58D72F27-843B-4307-B4D3-B6F46713B884}" name="order_dat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6549C-8D1C-4F1F-BC27-68EBCD02FE58}" name="Table5" displayName="Table5" ref="A1:F5" totalsRowShown="0">
  <autoFilter ref="A1:F5" xr:uid="{38A6549C-8D1C-4F1F-BC27-68EBCD02FE58}"/>
  <tableColumns count="6">
    <tableColumn id="1" xr3:uid="{C618E57F-D5D7-4552-A978-C5F9ECDC3B73}" name="order id"/>
    <tableColumn id="2" xr3:uid="{F800790D-3782-495A-B19E-02F3A85465CD}" name="customer_id"/>
    <tableColumn id="3" xr3:uid="{4F567BB8-B1AB-4FC0-8BD5-0FC9B894328D}" name="product"/>
    <tableColumn id="4" xr3:uid="{A0B1B606-0B12-4F6E-A23E-C422E0A8A752}" name="amount"/>
    <tableColumn id="5" xr3:uid="{BDC6DE35-7D69-4ABF-8E87-0CE539F685FE}" name="is_shipped"/>
    <tableColumn id="6" xr3:uid="{682E723F-A441-45D4-821A-F0E6EC33F4C1}" name="order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B7ABAA-71F7-4806-B7B0-7F20CBD49496}">
  <we:reference id="wa200007924" version="1.0.0.0" store="en-US" storeType="OMEX"/>
  <we:alternateReferences>
    <we:reference id="wa200007924" version="1.0.0.0" store="wa20000792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_xldudf_SQLOOKUP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9F1F70C-B8F6-45BE-B9F9-07FE1E930AC6}">
  <we:reference id="wa200007897" version="1.0.0.0" store="en-US" storeType="OMEX"/>
  <we:alternateReferences>
    <we:reference id="WA200007897" version="1.0.0.0" store="WA200007897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2A5D-B925-45E9-B279-F0E94863FE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C9B-A9E8-4464-B60F-84A6813F45AD}">
  <dimension ref="A1:G27"/>
  <sheetViews>
    <sheetView topLeftCell="A7" workbookViewId="0">
      <selection activeCell="F15" sqref="F15"/>
    </sheetView>
  </sheetViews>
  <sheetFormatPr defaultRowHeight="15" x14ac:dyDescent="0.25"/>
  <cols>
    <col min="1" max="2" width="14.28515625" bestFit="1" customWidth="1"/>
    <col min="3" max="3" width="26.5703125" bestFit="1" customWidth="1"/>
    <col min="4" max="4" width="11.42578125" bestFit="1" customWidth="1"/>
    <col min="5" max="5" width="12.85546875" bestFit="1" customWidth="1"/>
    <col min="6" max="6" width="13.140625" bestFit="1" customWidth="1"/>
    <col min="7" max="7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 t="s">
        <v>4</v>
      </c>
      <c r="C2" t="s">
        <v>5</v>
      </c>
      <c r="D2" t="s">
        <v>6</v>
      </c>
    </row>
    <row r="3" spans="1:6" x14ac:dyDescent="0.25">
      <c r="A3">
        <v>2</v>
      </c>
      <c r="B3" t="s">
        <v>7</v>
      </c>
      <c r="C3" t="s">
        <v>8</v>
      </c>
    </row>
    <row r="4" spans="1:6" x14ac:dyDescent="0.25">
      <c r="A4">
        <v>3</v>
      </c>
      <c r="B4" t="s">
        <v>9</v>
      </c>
      <c r="C4" t="s">
        <v>10</v>
      </c>
      <c r="D4" t="s">
        <v>11</v>
      </c>
    </row>
    <row r="6" spans="1:6" x14ac:dyDescent="0.25">
      <c r="A6" t="s">
        <v>12</v>
      </c>
      <c r="B6" t="s">
        <v>0</v>
      </c>
      <c r="C6" t="s">
        <v>13</v>
      </c>
      <c r="D6" t="s">
        <v>14</v>
      </c>
      <c r="E6" t="s">
        <v>15</v>
      </c>
      <c r="F6" t="s">
        <v>16</v>
      </c>
    </row>
    <row r="7" spans="1:6" x14ac:dyDescent="0.25">
      <c r="A7">
        <v>101</v>
      </c>
      <c r="B7">
        <v>1</v>
      </c>
      <c r="C7" t="s">
        <v>17</v>
      </c>
      <c r="D7">
        <v>1200.5</v>
      </c>
      <c r="E7" t="b">
        <v>1</v>
      </c>
      <c r="F7" s="1">
        <v>45301</v>
      </c>
    </row>
    <row r="8" spans="1:6" x14ac:dyDescent="0.25">
      <c r="A8">
        <v>102</v>
      </c>
      <c r="B8">
        <v>1</v>
      </c>
      <c r="C8" t="s">
        <v>18</v>
      </c>
      <c r="D8">
        <v>25.95</v>
      </c>
      <c r="E8" t="b">
        <v>0</v>
      </c>
      <c r="F8" s="1">
        <v>45303</v>
      </c>
    </row>
    <row r="9" spans="1:6" x14ac:dyDescent="0.25">
      <c r="A9">
        <v>103</v>
      </c>
      <c r="B9">
        <v>2</v>
      </c>
      <c r="C9" t="s">
        <v>19</v>
      </c>
      <c r="D9">
        <v>75.2</v>
      </c>
      <c r="E9" t="b">
        <v>1</v>
      </c>
      <c r="F9" s="1">
        <v>45306</v>
      </c>
    </row>
    <row r="10" spans="1:6" x14ac:dyDescent="0.25">
      <c r="A10">
        <v>104</v>
      </c>
      <c r="B10">
        <v>3</v>
      </c>
      <c r="C10" t="s">
        <v>20</v>
      </c>
      <c r="D10">
        <v>300.14999999999998</v>
      </c>
      <c r="E10" t="b">
        <v>0</v>
      </c>
      <c r="F10" s="1">
        <v>45309</v>
      </c>
    </row>
    <row r="12" spans="1:6" x14ac:dyDescent="0.25">
      <c r="A12" t="s">
        <v>21</v>
      </c>
    </row>
    <row r="13" spans="1:6" x14ac:dyDescent="0.25">
      <c r="A13" t="str" cm="1">
        <f t="array" ref="A13:F15">_xldudf_SQLOOKUP(
    "SELECT *
     FROM orders
     WHERE order_date &gt; datetime('2024-01-12')",
    "orders", Orders[#All],
    "date"
)</f>
        <v>order id</v>
      </c>
      <c r="B13" t="str">
        <v>customer_id</v>
      </c>
      <c r="C13" t="str">
        <v>product</v>
      </c>
      <c r="D13" t="str">
        <v>amount</v>
      </c>
      <c r="E13" t="str">
        <v>is_shipped</v>
      </c>
      <c r="F13" t="str">
        <v>order_date</v>
      </c>
    </row>
    <row r="14" spans="1:6" x14ac:dyDescent="0.25">
      <c r="A14">
        <v>103</v>
      </c>
      <c r="B14">
        <v>2</v>
      </c>
      <c r="C14" t="str">
        <v>Keyboard</v>
      </c>
      <c r="D14">
        <v>75.2</v>
      </c>
      <c r="E14" t="b">
        <v>1</v>
      </c>
      <c r="F14" vm="1">
        <v>45306</v>
      </c>
    </row>
    <row r="15" spans="1:6" x14ac:dyDescent="0.25">
      <c r="A15">
        <v>104</v>
      </c>
      <c r="B15">
        <v>3</v>
      </c>
      <c r="C15" t="str">
        <v>Monitor</v>
      </c>
      <c r="D15">
        <v>300.14999999999998</v>
      </c>
      <c r="E15" t="b">
        <v>0</v>
      </c>
      <c r="F15" vm="2">
        <v>45309</v>
      </c>
    </row>
    <row r="17" spans="1:7" x14ac:dyDescent="0.25">
      <c r="A17" t="s">
        <v>22</v>
      </c>
    </row>
    <row r="18" spans="1:7" x14ac:dyDescent="0.25">
      <c r="A18" t="str" cm="1">
        <f t="array" ref="A18:D21">_xldudf_SQLOOKUP(
    "SELECT o.[order id], c.name, o.product, o.amount
     FROM c
     INNER JOIN o ON c.customer_id = o.customer_id
     WHERE c.city IS NOT NULL",
    "c", Customers[#All],
    "o", Orders[#All]
)</f>
        <v>order id</v>
      </c>
      <c r="B18" t="str">
        <v>name</v>
      </c>
      <c r="C18" t="str">
        <v>product</v>
      </c>
      <c r="D18" t="str">
        <v>amount</v>
      </c>
      <c r="G18" t="e" cm="1">
        <f t="array" aca="1" ref="G18" ca="1">_xldudf_SQLOOKUP(SELECT AVG(age) AS OverallAvgAge
                                                                                                                                                                                                                                                                FROM #REF!)</f>
        <v>#VALUE!</v>
      </c>
    </row>
    <row r="19" spans="1:7" x14ac:dyDescent="0.25">
      <c r="A19">
        <v>101</v>
      </c>
      <c r="B19" t="str">
        <v>Alice Brown</v>
      </c>
      <c r="C19" t="str">
        <v>Laptop</v>
      </c>
      <c r="D19">
        <v>1200.5</v>
      </c>
    </row>
    <row r="20" spans="1:7" x14ac:dyDescent="0.25">
      <c r="A20">
        <v>102</v>
      </c>
      <c r="B20" t="str">
        <v>Alice Brown</v>
      </c>
      <c r="C20" t="str">
        <v>Mouse</v>
      </c>
      <c r="D20">
        <v>25.95</v>
      </c>
    </row>
    <row r="21" spans="1:7" x14ac:dyDescent="0.25">
      <c r="A21">
        <v>104</v>
      </c>
      <c r="B21" t="str">
        <v>Charlie Davis</v>
      </c>
      <c r="C21" t="str">
        <v>Monitor</v>
      </c>
      <c r="D21">
        <v>300.14999999999998</v>
      </c>
    </row>
    <row r="23" spans="1:7" x14ac:dyDescent="0.25">
      <c r="A23" t="s">
        <v>23</v>
      </c>
    </row>
    <row r="24" spans="1:7" x14ac:dyDescent="0.25">
      <c r="A24" t="str" cm="1">
        <f t="array" ref="A24:B27">_xldudf_SQLOOKUP(
    "SELECT customer_id, SUM(amount) AS total_spent
     FROM orders
     GROUP BY customer_id",
    "orders", Orders[#All]
)</f>
        <v>customer_id</v>
      </c>
      <c r="B24" t="str">
        <v>total_spent</v>
      </c>
    </row>
    <row r="25" spans="1:7" x14ac:dyDescent="0.25">
      <c r="A25">
        <v>1</v>
      </c>
      <c r="B25">
        <v>1226.45</v>
      </c>
    </row>
    <row r="26" spans="1:7" x14ac:dyDescent="0.25">
      <c r="A26">
        <v>2</v>
      </c>
      <c r="B26">
        <v>75.2</v>
      </c>
    </row>
    <row r="27" spans="1:7" x14ac:dyDescent="0.25">
      <c r="A27">
        <v>3</v>
      </c>
      <c r="B27">
        <v>300.14999999999998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D8F5-FC59-40E1-899A-F4735D145228}">
  <dimension ref="A1:F5"/>
  <sheetViews>
    <sheetView tabSelected="1" workbookViewId="0">
      <selection activeCell="I2" sqref="I2"/>
    </sheetView>
  </sheetViews>
  <sheetFormatPr defaultRowHeight="15" x14ac:dyDescent="0.25"/>
  <cols>
    <col min="1" max="1" width="10.28515625" bestFit="1" customWidth="1"/>
    <col min="2" max="2" width="14.28515625" bestFit="1" customWidth="1"/>
    <col min="3" max="4" width="10.140625" bestFit="1" customWidth="1"/>
    <col min="5" max="5" width="12.85546875" bestFit="1" customWidth="1"/>
    <col min="6" max="6" width="23.5703125" bestFit="1" customWidth="1"/>
  </cols>
  <sheetData>
    <row r="1" spans="1:6" x14ac:dyDescent="0.25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>
        <v>101</v>
      </c>
      <c r="B2">
        <v>1</v>
      </c>
      <c r="C2" t="s">
        <v>17</v>
      </c>
      <c r="D2">
        <v>1200.5</v>
      </c>
      <c r="E2" t="b">
        <v>1</v>
      </c>
      <c r="F2" t="s">
        <v>24</v>
      </c>
    </row>
    <row r="3" spans="1:6" x14ac:dyDescent="0.25">
      <c r="A3">
        <v>102</v>
      </c>
      <c r="B3">
        <v>1</v>
      </c>
      <c r="C3" t="s">
        <v>18</v>
      </c>
      <c r="D3">
        <v>25.95</v>
      </c>
      <c r="E3" t="b">
        <v>0</v>
      </c>
      <c r="F3" t="s">
        <v>25</v>
      </c>
    </row>
    <row r="4" spans="1:6" x14ac:dyDescent="0.25">
      <c r="A4">
        <v>103</v>
      </c>
      <c r="B4">
        <v>2</v>
      </c>
      <c r="C4" t="s">
        <v>19</v>
      </c>
      <c r="D4">
        <v>75.2</v>
      </c>
      <c r="E4" t="b">
        <v>1</v>
      </c>
      <c r="F4" t="s">
        <v>26</v>
      </c>
    </row>
    <row r="5" spans="1:6" x14ac:dyDescent="0.25">
      <c r="A5">
        <v>104</v>
      </c>
      <c r="B5">
        <v>3</v>
      </c>
      <c r="C5" t="s">
        <v>20</v>
      </c>
      <c r="D5">
        <v>300.14999999999998</v>
      </c>
      <c r="E5" t="b">
        <v>0</v>
      </c>
      <c r="F5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783065-83F8-4382-82FA-5CF987E72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Result1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 Dvir</dc:creator>
  <cp:lastModifiedBy>Nim Dvir</cp:lastModifiedBy>
  <dcterms:created xsi:type="dcterms:W3CDTF">2025-09-28T15:40:49Z</dcterms:created>
  <dcterms:modified xsi:type="dcterms:W3CDTF">2025-09-28T16:06:25Z</dcterms:modified>
</cp:coreProperties>
</file>